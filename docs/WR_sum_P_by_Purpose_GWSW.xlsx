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A:\z_GDBs\z_sum_Tables\"/>
    </mc:Choice>
  </mc:AlternateContent>
  <xr:revisionPtr revIDLastSave="0" documentId="13_ncr:1_{BC51AE42-2CE9-48B1-9AED-68EAD95CC3AB}" xr6:coauthVersionLast="47" xr6:coauthVersionMax="47" xr10:uidLastSave="{00000000-0000-0000-0000-000000000000}"/>
  <bookViews>
    <workbookView xWindow="-108" yWindow="-108" windowWidth="23256" windowHeight="13896" xr2:uid="{6CE7D6F9-0691-492F-A895-6A9E2909A17C}"/>
  </bookViews>
  <sheets>
    <sheet name="Surface" sheetId="1" r:id="rId1"/>
    <sheet name="Ground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" i="1" l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  <c r="C10" i="2"/>
  <c r="B10" i="2"/>
  <c r="C9" i="2"/>
  <c r="B9" i="2"/>
  <c r="C8" i="2"/>
  <c r="B8" i="2"/>
  <c r="C7" i="2"/>
  <c r="B7" i="2"/>
  <c r="C6" i="2"/>
  <c r="B6" i="2"/>
  <c r="B5" i="2"/>
  <c r="C5" i="2"/>
  <c r="C4" i="2"/>
  <c r="B4" i="2"/>
  <c r="C3" i="2"/>
  <c r="B3" i="2"/>
  <c r="C2" i="2"/>
  <c r="B2" i="2"/>
  <c r="B11" i="1" l="1"/>
  <c r="C11" i="1"/>
  <c r="B11" i="2"/>
  <c r="C11" i="2"/>
</calcChain>
</file>

<file path=xl/sharedStrings.xml><?xml version="1.0" encoding="utf-8"?>
<sst xmlns="http://schemas.openxmlformats.org/spreadsheetml/2006/main" count="26" uniqueCount="13">
  <si>
    <t>Water Use Purpose</t>
  </si>
  <si>
    <t>Number of Permits</t>
  </si>
  <si>
    <t>Total Amount Allocated (AF/YR)</t>
  </si>
  <si>
    <t>Agriculture</t>
  </si>
  <si>
    <t>Commercial</t>
  </si>
  <si>
    <t>Industrial</t>
  </si>
  <si>
    <t>Irrigation</t>
  </si>
  <si>
    <t>Oil, Gas &amp; Mining</t>
  </si>
  <si>
    <t>Other</t>
  </si>
  <si>
    <t>Power</t>
  </si>
  <si>
    <t>Public Water Supply</t>
  </si>
  <si>
    <t>Recreation, F&amp;W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</si>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</sst>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0" xfId="0" applyNumberFormat="1" applyFont="1" applyFill="1"/>
    <xf numFmtId="3" fontId="1" fillId="2" borderId="0" xfId="0" applyNumberFormat="1" applyFont="1" applyFill="1"/>
    <xf numFmtId="1" fontId="1" fillId="2" borderId="1" xfId="0" applyNumberFormat="1" applyFont="1" applyFill="1" applyBorder="1"/>
    <xf numFmtId="0" fontId="1" fillId="2" borderId="0" xfId="0" applyFont="1" applyFill="1" applyAlignment="1">
      <alignment horizontal="right"/>
    </xf>
    <xf numFmtId="3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z_GDBs\z_sum_Tables\WR_sum_P_by_Purpose_GWSW.dbf" TargetMode="External"/><Relationship Id="rId1" Type="http://schemas.openxmlformats.org/officeDocument/2006/relationships/externalLinkPath" Target="WR_sum_P_by_Purpose_GWSW.db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_sum_P_by_Purpose_GWSW"/>
    </sheetNames>
    <sheetDataSet>
      <sheetData sheetId="0">
        <row r="2">
          <cell r="C2">
            <v>625</v>
          </cell>
          <cell r="D2">
            <v>97696.9</v>
          </cell>
        </row>
        <row r="3">
          <cell r="C3">
            <v>66</v>
          </cell>
          <cell r="D3">
            <v>7025.7</v>
          </cell>
        </row>
        <row r="4">
          <cell r="C4">
            <v>187</v>
          </cell>
          <cell r="D4">
            <v>20476.900000000001</v>
          </cell>
        </row>
        <row r="5">
          <cell r="C5">
            <v>19</v>
          </cell>
          <cell r="D5">
            <v>492.5</v>
          </cell>
        </row>
        <row r="6">
          <cell r="C6">
            <v>283</v>
          </cell>
          <cell r="D6">
            <v>80398.899999999994</v>
          </cell>
        </row>
        <row r="7">
          <cell r="C7">
            <v>172</v>
          </cell>
          <cell r="D7">
            <v>103970.7</v>
          </cell>
        </row>
        <row r="8">
          <cell r="C8">
            <v>9234</v>
          </cell>
          <cell r="D8">
            <v>3131547.8</v>
          </cell>
        </row>
        <row r="9">
          <cell r="C9">
            <v>1229</v>
          </cell>
          <cell r="D9">
            <v>407891.8</v>
          </cell>
        </row>
        <row r="10">
          <cell r="C10">
            <v>977</v>
          </cell>
          <cell r="D10">
            <v>157974.39999999999</v>
          </cell>
        </row>
        <row r="11">
          <cell r="C11">
            <v>179</v>
          </cell>
          <cell r="D11">
            <v>158523.79999999999</v>
          </cell>
        </row>
        <row r="12">
          <cell r="C12">
            <v>17</v>
          </cell>
          <cell r="D12">
            <v>1362.6</v>
          </cell>
        </row>
        <row r="13">
          <cell r="C13">
            <v>3</v>
          </cell>
          <cell r="D13">
            <v>2000</v>
          </cell>
        </row>
        <row r="14">
          <cell r="C14">
            <v>32</v>
          </cell>
          <cell r="D14">
            <v>31964.5</v>
          </cell>
        </row>
        <row r="15">
          <cell r="C15">
            <v>26</v>
          </cell>
          <cell r="D15">
            <v>364049</v>
          </cell>
        </row>
        <row r="16">
          <cell r="C16">
            <v>1516</v>
          </cell>
          <cell r="D16">
            <v>673149.4</v>
          </cell>
        </row>
        <row r="17">
          <cell r="C17">
            <v>393</v>
          </cell>
          <cell r="D17">
            <v>1656759.4</v>
          </cell>
        </row>
        <row r="18">
          <cell r="C18">
            <v>186</v>
          </cell>
          <cell r="D18">
            <v>17131.7</v>
          </cell>
        </row>
        <row r="19">
          <cell r="C19">
            <v>402</v>
          </cell>
          <cell r="D19">
            <v>150556.1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E931-1F58-4C72-B072-06DEBED32E77}">
  <dimension ref="A1:C11"/>
  <sheetViews>
    <sheetView tabSelected="1" workbookViewId="0">
      <selection sqref="A1:C11"/>
    </sheetView>
  </sheetViews>
  <sheetFormatPr defaultRowHeight="14.4" x14ac:dyDescent="0.3"/>
  <cols>
    <col min="1" max="1" width="15.88671875" customWidth="1"/>
    <col min="2" max="2" width="8.33203125" customWidth="1"/>
    <col min="3" max="3" width="14.5546875" customWidth="1"/>
  </cols>
  <sheetData>
    <row r="1" spans="1:3" ht="28.5" customHeight="1" x14ac:dyDescent="0.3">
      <c r="A1" s="1" t="s">
        <v>0</v>
      </c>
      <c r="B1" s="1" t="s">
        <v>1</v>
      </c>
      <c r="C1" s="1" t="s">
        <v>2</v>
      </c>
    </row>
    <row r="2" spans="1:3" ht="15" customHeight="1" x14ac:dyDescent="0.3">
      <c r="A2" s="2" t="s">
        <v>3</v>
      </c>
      <c r="B2" s="3">
        <f>[1]WR_sum_P_by_Purpose_GWSW!$C$3</f>
        <v>66</v>
      </c>
      <c r="C2" s="3">
        <f>[1]WR_sum_P_by_Purpose_GWSW!$D$3</f>
        <v>7025.7</v>
      </c>
    </row>
    <row r="3" spans="1:3" ht="15" customHeight="1" x14ac:dyDescent="0.3">
      <c r="A3" s="2" t="s">
        <v>4</v>
      </c>
      <c r="B3" s="3">
        <f>[1]WR_sum_P_by_Purpose_GWSW!$C$5</f>
        <v>19</v>
      </c>
      <c r="C3" s="3">
        <f>[1]WR_sum_P_by_Purpose_GWSW!$D$5</f>
        <v>492.5</v>
      </c>
    </row>
    <row r="4" spans="1:3" ht="15" customHeight="1" x14ac:dyDescent="0.3">
      <c r="A4" s="2" t="s">
        <v>5</v>
      </c>
      <c r="B4" s="3">
        <f>[1]WR_sum_P_by_Purpose_GWSW!$C$7</f>
        <v>172</v>
      </c>
      <c r="C4" s="3">
        <f>[1]WR_sum_P_by_Purpose_GWSW!$D$7</f>
        <v>103970.7</v>
      </c>
    </row>
    <row r="5" spans="1:3" ht="15" customHeight="1" x14ac:dyDescent="0.3">
      <c r="A5" s="2" t="s">
        <v>6</v>
      </c>
      <c r="B5" s="3">
        <f>[1]WR_sum_P_by_Purpose_GWSW!$C$9</f>
        <v>1229</v>
      </c>
      <c r="C5" s="3">
        <f>[1]WR_sum_P_by_Purpose_GWSW!$D$9</f>
        <v>407891.8</v>
      </c>
    </row>
    <row r="6" spans="1:3" ht="15" customHeight="1" x14ac:dyDescent="0.3">
      <c r="A6" s="2" t="s">
        <v>7</v>
      </c>
      <c r="B6" s="3">
        <f>[1]WR_sum_P_by_Purpose_GWSW!$C$11</f>
        <v>179</v>
      </c>
      <c r="C6" s="3">
        <f>[1]WR_sum_P_by_Purpose_GWSW!$D$11</f>
        <v>158523.79999999999</v>
      </c>
    </row>
    <row r="7" spans="1:3" ht="15" customHeight="1" x14ac:dyDescent="0.3">
      <c r="A7" s="2" t="s">
        <v>8</v>
      </c>
      <c r="B7" s="3">
        <f>[1]WR_sum_P_by_Purpose_GWSW!$C$13</f>
        <v>3</v>
      </c>
      <c r="C7" s="3">
        <f>[1]WR_sum_P_by_Purpose_GWSW!$D$13</f>
        <v>2000</v>
      </c>
    </row>
    <row r="8" spans="1:3" ht="15" customHeight="1" x14ac:dyDescent="0.3">
      <c r="A8" s="2" t="s">
        <v>9</v>
      </c>
      <c r="B8" s="3">
        <f>[1]WR_sum_P_by_Purpose_GWSW!$C$15</f>
        <v>26</v>
      </c>
      <c r="C8" s="3">
        <f>[1]WR_sum_P_by_Purpose_GWSW!$D$15</f>
        <v>364049</v>
      </c>
    </row>
    <row r="9" spans="1:3" ht="15" customHeight="1" x14ac:dyDescent="0.3">
      <c r="A9" s="2" t="s">
        <v>10</v>
      </c>
      <c r="B9" s="3">
        <f>[1]WR_sum_P_by_Purpose_GWSW!$C$17</f>
        <v>393</v>
      </c>
      <c r="C9" s="3">
        <f>[1]WR_sum_P_by_Purpose_GWSW!$D$17</f>
        <v>1656759.4</v>
      </c>
    </row>
    <row r="10" spans="1:3" ht="15" customHeight="1" x14ac:dyDescent="0.3">
      <c r="A10" s="4" t="s">
        <v>11</v>
      </c>
      <c r="B10" s="6">
        <f>[1]WR_sum_P_by_Purpose_GWSW!$C$19</f>
        <v>402</v>
      </c>
      <c r="C10" s="6">
        <f>[1]WR_sum_P_by_Purpose_GWSW!$D$19</f>
        <v>150556.1</v>
      </c>
    </row>
    <row r="11" spans="1:3" ht="15" customHeight="1" x14ac:dyDescent="0.3">
      <c r="A11" s="5" t="s">
        <v>12</v>
      </c>
      <c r="B11" s="3">
        <f>SUM(B2:B10)</f>
        <v>2489</v>
      </c>
      <c r="C11" s="3">
        <f>SUM(C2:C10)</f>
        <v>2851269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48C8-84CB-49BB-AF62-33052AA6E062}">
  <dimension ref="A1:C11"/>
  <sheetViews>
    <sheetView workbookViewId="0">
      <selection sqref="A1:C11"/>
    </sheetView>
  </sheetViews>
  <sheetFormatPr defaultRowHeight="14.4" x14ac:dyDescent="0.3"/>
  <cols>
    <col min="1" max="1" width="15.88671875" customWidth="1"/>
    <col min="2" max="2" width="8.33203125" customWidth="1"/>
    <col min="3" max="3" width="14.5546875" customWidth="1"/>
  </cols>
  <sheetData>
    <row r="1" spans="1:3" ht="28.5" customHeight="1" x14ac:dyDescent="0.3">
      <c r="A1" s="1" t="s">
        <v>0</v>
      </c>
      <c r="B1" s="1" t="s">
        <v>1</v>
      </c>
      <c r="C1" s="1" t="s">
        <v>2</v>
      </c>
    </row>
    <row r="2" spans="1:3" ht="15" customHeight="1" x14ac:dyDescent="0.3">
      <c r="A2" s="2" t="s">
        <v>3</v>
      </c>
      <c r="B2" s="3">
        <f>[1]WR_sum_P_by_Purpose_GWSW!$C$2</f>
        <v>625</v>
      </c>
      <c r="C2" s="3">
        <f>[1]WR_sum_P_by_Purpose_GWSW!$D$2</f>
        <v>97696.9</v>
      </c>
    </row>
    <row r="3" spans="1:3" ht="15" customHeight="1" x14ac:dyDescent="0.3">
      <c r="A3" s="2" t="s">
        <v>4</v>
      </c>
      <c r="B3" s="3">
        <f>[1]WR_sum_P_by_Purpose_GWSW!$C$4</f>
        <v>187</v>
      </c>
      <c r="C3" s="3">
        <f>[1]WR_sum_P_by_Purpose_GWSW!$D$4</f>
        <v>20476.900000000001</v>
      </c>
    </row>
    <row r="4" spans="1:3" ht="15" customHeight="1" x14ac:dyDescent="0.3">
      <c r="A4" s="2" t="s">
        <v>5</v>
      </c>
      <c r="B4" s="3">
        <f>[1]WR_sum_P_by_Purpose_GWSW!$C$6</f>
        <v>283</v>
      </c>
      <c r="C4" s="3">
        <f>[1]WR_sum_P_by_Purpose_GWSW!$D$6</f>
        <v>80398.899999999994</v>
      </c>
    </row>
    <row r="5" spans="1:3" ht="15" customHeight="1" x14ac:dyDescent="0.3">
      <c r="A5" s="2" t="s">
        <v>6</v>
      </c>
      <c r="B5" s="3">
        <f>[1]WR_sum_P_by_Purpose_GWSW!$C$8</f>
        <v>9234</v>
      </c>
      <c r="C5" s="3">
        <f>[1]WR_sum_P_by_Purpose_GWSW!$D$8</f>
        <v>3131547.8</v>
      </c>
    </row>
    <row r="6" spans="1:3" ht="15" customHeight="1" x14ac:dyDescent="0.3">
      <c r="A6" s="2" t="s">
        <v>7</v>
      </c>
      <c r="B6" s="3">
        <f>[1]WR_sum_P_by_Purpose_GWSW!$C$10</f>
        <v>977</v>
      </c>
      <c r="C6" s="3">
        <f>[1]WR_sum_P_by_Purpose_GWSW!$D$10</f>
        <v>157974.39999999999</v>
      </c>
    </row>
    <row r="7" spans="1:3" ht="15" customHeight="1" x14ac:dyDescent="0.3">
      <c r="A7" s="2" t="s">
        <v>8</v>
      </c>
      <c r="B7" s="3">
        <f>[1]WR_sum_P_by_Purpose_GWSW!$C$12</f>
        <v>17</v>
      </c>
      <c r="C7" s="3">
        <f>[1]WR_sum_P_by_Purpose_GWSW!$D$12</f>
        <v>1362.6</v>
      </c>
    </row>
    <row r="8" spans="1:3" ht="15" customHeight="1" x14ac:dyDescent="0.3">
      <c r="A8" s="2" t="s">
        <v>9</v>
      </c>
      <c r="B8" s="3">
        <f>[1]WR_sum_P_by_Purpose_GWSW!$C$14</f>
        <v>32</v>
      </c>
      <c r="C8" s="3">
        <f>[1]WR_sum_P_by_Purpose_GWSW!$D$14</f>
        <v>31964.5</v>
      </c>
    </row>
    <row r="9" spans="1:3" ht="15" customHeight="1" x14ac:dyDescent="0.3">
      <c r="A9" s="2" t="s">
        <v>10</v>
      </c>
      <c r="B9" s="3">
        <f>[1]WR_sum_P_by_Purpose_GWSW!$C$16</f>
        <v>1516</v>
      </c>
      <c r="C9" s="3">
        <f>[1]WR_sum_P_by_Purpose_GWSW!$D$16</f>
        <v>673149.4</v>
      </c>
    </row>
    <row r="10" spans="1:3" ht="15" customHeight="1" x14ac:dyDescent="0.3">
      <c r="A10" s="4" t="s">
        <v>11</v>
      </c>
      <c r="B10" s="6">
        <f>[1]WR_sum_P_by_Purpose_GWSW!$C$18</f>
        <v>186</v>
      </c>
      <c r="C10" s="6">
        <f>[1]WR_sum_P_by_Purpose_GWSW!$D$18</f>
        <v>17131.7</v>
      </c>
    </row>
    <row r="11" spans="1:3" ht="15" customHeight="1" x14ac:dyDescent="0.3">
      <c r="A11" s="5" t="s">
        <v>12</v>
      </c>
      <c r="B11" s="3">
        <f>SUM(B2:B10)</f>
        <v>13057</v>
      </c>
      <c r="C11" s="3">
        <f>SUM(C2:C10)</f>
        <v>4211703.1000000006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Surface</vt:lpstr>
      <vt:lpstr>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Roberson</dc:creator>
  <cp:lastModifiedBy>Scott Roberson</cp:lastModifiedBy>
  <dcterms:created xsi:type="dcterms:W3CDTF">2024-09-25T18:44:07Z</dcterms:created>
  <dcterms:modified xsi:type="dcterms:W3CDTF">2025-09-03T16:59:27Z</dcterms:modified>
</cp:coreProperties>
</file>