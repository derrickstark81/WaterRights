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A:\z_GDBs\z_sum_Tables\"/>
    </mc:Choice>
  </mc:AlternateContent>
  <xr:revisionPtr revIDLastSave="0" documentId="13_ncr:1_{7E65FA80-5E01-4980-885B-F466B895567E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Groundwater" sheetId="5" r:id="rId1"/>
    <sheet name="All" sheetId="6" r:id="rId2"/>
    <sheet name="2025" sheetId="7" r:id="rId3"/>
    <sheet name="Surface" sheetId="2" r:id="rId4"/>
    <sheet name="Historical All" sheetId="8" r:id="rId5"/>
  </sheets>
  <externalReferences>
    <externalReference r:id="rId6"/>
    <externalReference r:id="rId7"/>
    <externalReference r:id="rId8"/>
  </externalReference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6" l="1"/>
  <c r="C23" i="6"/>
  <c r="D21" i="6"/>
  <c r="C21" i="6"/>
  <c r="D20" i="6"/>
  <c r="C20" i="6"/>
  <c r="D12" i="2"/>
  <c r="C12" i="2"/>
  <c r="D10" i="2"/>
  <c r="C10" i="2"/>
  <c r="D9" i="2"/>
  <c r="C9" i="2"/>
  <c r="D8" i="2"/>
  <c r="C8" i="2"/>
  <c r="D7" i="2"/>
  <c r="C7" i="2"/>
  <c r="D13" i="5"/>
  <c r="C13" i="5"/>
  <c r="D10" i="5"/>
  <c r="C10" i="5"/>
  <c r="D9" i="5"/>
  <c r="C9" i="5"/>
  <c r="D8" i="5"/>
  <c r="C8" i="5"/>
  <c r="D19" i="6"/>
  <c r="C19" i="6"/>
  <c r="D18" i="6"/>
  <c r="C18" i="6"/>
  <c r="D12" i="6"/>
  <c r="C12" i="6"/>
  <c r="D9" i="6"/>
  <c r="C9" i="6"/>
  <c r="D8" i="6"/>
  <c r="C8" i="6"/>
  <c r="D7" i="6"/>
  <c r="C7" i="6"/>
  <c r="D25" i="7"/>
  <c r="C25" i="7"/>
  <c r="D24" i="7"/>
  <c r="C24" i="7"/>
  <c r="D23" i="7"/>
  <c r="C23" i="7"/>
  <c r="D21" i="7"/>
  <c r="C21" i="7"/>
  <c r="D20" i="7"/>
  <c r="C20" i="7"/>
  <c r="D19" i="7"/>
  <c r="C19" i="7"/>
  <c r="D18" i="7"/>
  <c r="C18" i="7"/>
  <c r="D9" i="7"/>
  <c r="C9" i="7"/>
  <c r="D8" i="7"/>
  <c r="C8" i="7"/>
  <c r="D7" i="7"/>
  <c r="C7" i="7"/>
  <c r="D5" i="7"/>
  <c r="C5" i="7"/>
  <c r="D12" i="7"/>
  <c r="C12" i="7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D5" i="6"/>
  <c r="C5" i="6"/>
  <c r="D6" i="5"/>
  <c r="C6" i="5"/>
  <c r="D26" i="7" l="1"/>
  <c r="D26" i="6"/>
  <c r="C14" i="6"/>
  <c r="B25" i="8"/>
  <c r="C25" i="8"/>
  <c r="C26" i="7"/>
  <c r="D14" i="7"/>
  <c r="C15" i="5"/>
  <c r="D15" i="5"/>
  <c r="D15" i="2"/>
  <c r="C14" i="7"/>
  <c r="C15" i="2"/>
  <c r="D14" i="6"/>
  <c r="C26" i="6"/>
</calcChain>
</file>

<file path=xl/sharedStrings.xml><?xml version="1.0" encoding="utf-8"?>
<sst xmlns="http://schemas.openxmlformats.org/spreadsheetml/2006/main" count="87" uniqueCount="21">
  <si>
    <t>Agriculture</t>
  </si>
  <si>
    <t>Irrigation</t>
  </si>
  <si>
    <t>Oil, Gas &amp; Mining</t>
  </si>
  <si>
    <t>Industrial</t>
  </si>
  <si>
    <t>Public Water Supply</t>
  </si>
  <si>
    <t>Active Surface Water Provisional-Temporary Permits</t>
  </si>
  <si>
    <t>Purpose</t>
  </si>
  <si>
    <t>Number of Permits</t>
  </si>
  <si>
    <t>Total Amount Allocated (AF)</t>
  </si>
  <si>
    <t>Surface Water</t>
  </si>
  <si>
    <t>Commercial</t>
  </si>
  <si>
    <t>Other</t>
  </si>
  <si>
    <t>Power</t>
  </si>
  <si>
    <t>Recreation, Fish &amp; Wildlife</t>
  </si>
  <si>
    <t>TOTALS</t>
  </si>
  <si>
    <t>Active Groundwater Provisional-Temporary Permits</t>
  </si>
  <si>
    <t>Groundwater</t>
  </si>
  <si>
    <t>Active Provisional-Temporary Permits</t>
  </si>
  <si>
    <t>Historical Provisional-Temporary Permits</t>
  </si>
  <si>
    <t>Year</t>
  </si>
  <si>
    <t>2025 Provisional-Temporary Permits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</si>
</sst>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9" fillId="33" borderId="0" xfId="0" applyFont="1" applyFill="1"/>
    <xf numFmtId="0" fontId="18" fillId="33" borderId="0" xfId="0" applyFont="1" applyFill="1"/>
    <xf numFmtId="14" fontId="18" fillId="33" borderId="0" xfId="0" applyNumberFormat="1" applyFont="1" applyFill="1"/>
    <xf numFmtId="0" fontId="19" fillId="33" borderId="10" xfId="0" applyFont="1" applyFill="1" applyBorder="1" applyAlignment="1">
      <alignment horizontal="center" vertical="center" wrapText="1"/>
    </xf>
    <xf numFmtId="1" fontId="18" fillId="33" borderId="0" xfId="0" applyNumberFormat="1" applyFont="1" applyFill="1"/>
    <xf numFmtId="3" fontId="18" fillId="33" borderId="0" xfId="0" applyNumberFormat="1" applyFont="1" applyFill="1"/>
    <xf numFmtId="1" fontId="18" fillId="33" borderId="10" xfId="0" applyNumberFormat="1" applyFont="1" applyFill="1" applyBorder="1"/>
    <xf numFmtId="1" fontId="18" fillId="33" borderId="0" xfId="0" applyNumberFormat="1" applyFont="1" applyFill="1" applyAlignment="1">
      <alignment horizontal="right"/>
    </xf>
    <xf numFmtId="3" fontId="18" fillId="33" borderId="0" xfId="0" applyNumberFormat="1" applyFont="1" applyFill="1" applyAlignment="1">
      <alignment horizontal="center"/>
    </xf>
    <xf numFmtId="3" fontId="18" fillId="33" borderId="10" xfId="0" applyNumberFormat="1" applyFont="1" applyFill="1" applyBorder="1" applyAlignment="1">
      <alignment horizontal="center"/>
    </xf>
    <xf numFmtId="0" fontId="20" fillId="33" borderId="0" xfId="0" applyFont="1" applyFill="1"/>
    <xf numFmtId="0" fontId="18" fillId="33" borderId="0" xfId="0" applyFont="1" applyFill="1" applyAlignment="1">
      <alignment horizontal="center"/>
    </xf>
    <xf numFmtId="0" fontId="20" fillId="33" borderId="1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3" fontId="18" fillId="33" borderId="0" xfId="0" applyNumberFormat="1" applyFont="1" applyFill="1" applyAlignment="1">
      <alignment horizontal="right"/>
    </xf>
    <xf numFmtId="3" fontId="18" fillId="33" borderId="10" xfId="0" applyNumberFormat="1" applyFont="1" applyFill="1" applyBorder="1" applyAlignment="1">
      <alignment horizontal="right"/>
    </xf>
    <xf numFmtId="0" fontId="18" fillId="33" borderId="0" xfId="0" applyFont="1" applyFill="1" applyAlignment="1">
      <alignment horizontal="right"/>
    </xf>
    <xf numFmtId="3" fontId="22" fillId="33" borderId="0" xfId="0" applyNumberFormat="1" applyFont="1" applyFill="1" applyAlignment="1">
      <alignment horizontal="center"/>
    </xf>
    <xf numFmtId="3" fontId="21" fillId="33" borderId="0" xfId="0" applyNumberFormat="1" applyFont="1" applyFill="1"/>
    <xf numFmtId="3" fontId="22" fillId="33" borderId="0" xfId="0" applyNumberFormat="1" applyFont="1" applyFill="1"/>
    <xf numFmtId="3" fontId="21" fillId="33" borderId="10" xfId="0" applyNumberFormat="1" applyFont="1" applyFill="1" applyBorder="1" applyAlignment="1">
      <alignment horizontal="center" vertical="center" wrapText="1"/>
    </xf>
    <xf numFmtId="1" fontId="22" fillId="33" borderId="0" xfId="0" applyNumberFormat="1" applyFont="1" applyFill="1" applyAlignment="1">
      <alignment horizontal="center"/>
    </xf>
    <xf numFmtId="3" fontId="18" fillId="33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164" fontId="18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T_Active.dbf" TargetMode="External"/><Relationship Id="rId1" Type="http://schemas.openxmlformats.org/officeDocument/2006/relationships/externalLinkPath" Target="WR_sum_PT_Active.dbf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T_2025.xlsx" TargetMode="External"/><Relationship Id="rId1" Type="http://schemas.openxmlformats.org/officeDocument/2006/relationships/externalLinkPath" Target="WR_sum_PT_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T_Year_AF.dbf" TargetMode="External"/><Relationship Id="rId1" Type="http://schemas.openxmlformats.org/officeDocument/2006/relationships/externalLinkPath" Target="WR_sum_PT_Year_AF.db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T_Active"/>
    </sheetNames>
    <sheetDataSet>
      <sheetData sheetId="0">
        <row r="2">
          <cell r="C2">
            <v>1</v>
          </cell>
          <cell r="D2">
            <v>1</v>
          </cell>
        </row>
        <row r="3">
          <cell r="C3">
            <v>3</v>
          </cell>
          <cell r="D3">
            <v>21</v>
          </cell>
        </row>
        <row r="4">
          <cell r="C4">
            <v>9</v>
          </cell>
          <cell r="D4">
            <v>2069.9</v>
          </cell>
        </row>
        <row r="5">
          <cell r="C5">
            <v>27</v>
          </cell>
          <cell r="D5">
            <v>765</v>
          </cell>
        </row>
        <row r="6">
          <cell r="C6">
            <v>1</v>
          </cell>
          <cell r="D6">
            <v>15.2</v>
          </cell>
        </row>
        <row r="7">
          <cell r="C7">
            <v>3</v>
          </cell>
          <cell r="D7">
            <v>6.1</v>
          </cell>
        </row>
        <row r="8">
          <cell r="C8">
            <v>6</v>
          </cell>
          <cell r="D8">
            <v>22.7</v>
          </cell>
        </row>
        <row r="9">
          <cell r="C9">
            <v>1</v>
          </cell>
          <cell r="D9">
            <v>26.8</v>
          </cell>
        </row>
        <row r="10">
          <cell r="C10">
            <v>66</v>
          </cell>
          <cell r="D10">
            <v>5032.8999999999996</v>
          </cell>
        </row>
        <row r="11">
          <cell r="C11">
            <v>1</v>
          </cell>
          <cell r="D11">
            <v>4.5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T_2025"/>
    </sheetNames>
    <sheetDataSet>
      <sheetData sheetId="0">
        <row r="2">
          <cell r="C2">
            <v>6</v>
          </cell>
          <cell r="D2">
            <v>388.3</v>
          </cell>
        </row>
        <row r="3">
          <cell r="C3">
            <v>4</v>
          </cell>
          <cell r="D3">
            <v>25.5</v>
          </cell>
        </row>
        <row r="4">
          <cell r="C4">
            <v>49</v>
          </cell>
          <cell r="D4">
            <v>9547.5</v>
          </cell>
        </row>
        <row r="5">
          <cell r="C5">
            <v>66</v>
          </cell>
          <cell r="D5">
            <v>3222.5</v>
          </cell>
        </row>
        <row r="6">
          <cell r="C6">
            <v>3</v>
          </cell>
          <cell r="D6">
            <v>30.5</v>
          </cell>
        </row>
        <row r="7">
          <cell r="C7">
            <v>3</v>
          </cell>
          <cell r="D7">
            <v>6.1</v>
          </cell>
        </row>
        <row r="8">
          <cell r="C8">
            <v>10</v>
          </cell>
          <cell r="D8">
            <v>314.2</v>
          </cell>
        </row>
        <row r="9">
          <cell r="C9">
            <v>2</v>
          </cell>
          <cell r="D9">
            <v>632.5</v>
          </cell>
        </row>
        <row r="10">
          <cell r="C10">
            <v>194</v>
          </cell>
          <cell r="D10">
            <v>13427</v>
          </cell>
        </row>
        <row r="11">
          <cell r="C11">
            <v>1</v>
          </cell>
          <cell r="D11">
            <v>4.5</v>
          </cell>
        </row>
        <row r="12">
          <cell r="C12">
            <v>1</v>
          </cell>
          <cell r="D12">
            <v>2000</v>
          </cell>
        </row>
        <row r="13">
          <cell r="C13">
            <v>2</v>
          </cell>
          <cell r="D13">
            <v>80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T_Year_AF"/>
    </sheetNames>
    <sheetDataSet>
      <sheetData sheetId="0">
        <row r="10">
          <cell r="B10">
            <v>1686</v>
          </cell>
          <cell r="C10">
            <v>15524.3</v>
          </cell>
        </row>
        <row r="11">
          <cell r="B11">
            <v>1879</v>
          </cell>
          <cell r="C11">
            <v>14213.3</v>
          </cell>
        </row>
        <row r="12">
          <cell r="B12">
            <v>1836</v>
          </cell>
          <cell r="C12">
            <v>8709.2000000000007</v>
          </cell>
        </row>
        <row r="13">
          <cell r="B13">
            <v>2044</v>
          </cell>
          <cell r="C13">
            <v>18773</v>
          </cell>
        </row>
        <row r="14">
          <cell r="B14">
            <v>945</v>
          </cell>
          <cell r="C14">
            <v>14859.3</v>
          </cell>
        </row>
        <row r="15">
          <cell r="B15">
            <v>1349</v>
          </cell>
          <cell r="C15">
            <v>17293.5</v>
          </cell>
        </row>
        <row r="16">
          <cell r="B16">
            <v>2014</v>
          </cell>
          <cell r="C16">
            <v>71054.8</v>
          </cell>
        </row>
        <row r="17">
          <cell r="B17">
            <v>2417</v>
          </cell>
          <cell r="C17">
            <v>102711.6</v>
          </cell>
        </row>
        <row r="18">
          <cell r="B18">
            <v>2163</v>
          </cell>
          <cell r="C18">
            <v>98532.5</v>
          </cell>
        </row>
        <row r="19">
          <cell r="B19">
            <v>2035</v>
          </cell>
          <cell r="C19">
            <v>108259.7</v>
          </cell>
        </row>
        <row r="20">
          <cell r="B20">
            <v>1318</v>
          </cell>
          <cell r="C20">
            <v>94577.1</v>
          </cell>
        </row>
        <row r="21">
          <cell r="B21">
            <v>1227</v>
          </cell>
          <cell r="C21">
            <v>94699.9</v>
          </cell>
        </row>
        <row r="22">
          <cell r="B22">
            <v>1631</v>
          </cell>
          <cell r="C22">
            <v>68870.399999999994</v>
          </cell>
        </row>
        <row r="23">
          <cell r="B23">
            <v>1697</v>
          </cell>
          <cell r="C23">
            <v>76477</v>
          </cell>
        </row>
        <row r="24">
          <cell r="B24">
            <v>1217</v>
          </cell>
          <cell r="C24">
            <v>51207.199999999997</v>
          </cell>
        </row>
        <row r="25">
          <cell r="B25">
            <v>428</v>
          </cell>
          <cell r="C25">
            <v>23558.799999999999</v>
          </cell>
        </row>
        <row r="26">
          <cell r="B26">
            <v>435</v>
          </cell>
          <cell r="C26">
            <v>22465.599999999999</v>
          </cell>
        </row>
        <row r="27">
          <cell r="B27">
            <v>601</v>
          </cell>
          <cell r="C27">
            <v>36145.800000000003</v>
          </cell>
        </row>
        <row r="28">
          <cell r="B28">
            <v>539</v>
          </cell>
          <cell r="C28">
            <v>36120.1</v>
          </cell>
        </row>
        <row r="29">
          <cell r="B29">
            <v>513</v>
          </cell>
          <cell r="C29">
            <v>39591.1</v>
          </cell>
        </row>
        <row r="30">
          <cell r="B30">
            <v>341</v>
          </cell>
          <cell r="C30">
            <v>29678.6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6794-FBEA-49A4-A03F-C705702BDA64}">
  <dimension ref="A1:D15"/>
  <sheetViews>
    <sheetView workbookViewId="0">
      <selection sqref="A1:D15"/>
    </sheetView>
  </sheetViews>
  <sheetFormatPr defaultRowHeight="14.4" x14ac:dyDescent="0.3"/>
  <cols>
    <col min="1" max="1" width="9.109375" customWidth="1"/>
    <col min="2" max="2" width="18.44140625" customWidth="1"/>
    <col min="3" max="3" width="8.5546875" customWidth="1"/>
    <col min="4" max="4" width="11.44140625" customWidth="1"/>
  </cols>
  <sheetData>
    <row r="1" spans="1:4" ht="12" customHeight="1" x14ac:dyDescent="0.3">
      <c r="A1" s="11" t="s">
        <v>15</v>
      </c>
      <c r="B1" s="2"/>
      <c r="C1" s="2"/>
      <c r="D1" s="2"/>
    </row>
    <row r="2" spans="1:4" ht="12" customHeight="1" x14ac:dyDescent="0.3">
      <c r="A2" s="11"/>
      <c r="B2" s="2"/>
      <c r="C2" s="2"/>
      <c r="D2" s="3">
        <v>45903</v>
      </c>
    </row>
    <row r="3" spans="1:4" ht="6" customHeight="1" x14ac:dyDescent="0.3">
      <c r="A3" s="1"/>
      <c r="B3" s="2"/>
      <c r="C3" s="2"/>
      <c r="D3" s="3"/>
    </row>
    <row r="4" spans="1:4" ht="22.5" customHeight="1" x14ac:dyDescent="0.3">
      <c r="A4" s="4"/>
      <c r="B4" s="13" t="s">
        <v>6</v>
      </c>
      <c r="C4" s="13" t="s">
        <v>7</v>
      </c>
      <c r="D4" s="13" t="s">
        <v>8</v>
      </c>
    </row>
    <row r="5" spans="1:4" ht="11.25" customHeight="1" x14ac:dyDescent="0.3">
      <c r="A5" s="1" t="s">
        <v>16</v>
      </c>
      <c r="B5" s="2"/>
      <c r="C5" s="12"/>
      <c r="D5" s="2"/>
    </row>
    <row r="6" spans="1:4" ht="11.25" customHeight="1" x14ac:dyDescent="0.3">
      <c r="A6" s="2"/>
      <c r="B6" s="5" t="s">
        <v>0</v>
      </c>
      <c r="C6" s="9">
        <f>[1]WR_sum_PT_Active!$C$2</f>
        <v>1</v>
      </c>
      <c r="D6" s="9">
        <f>[1]WR_sum_PT_Active!$D$2</f>
        <v>1</v>
      </c>
    </row>
    <row r="7" spans="1:4" ht="11.25" customHeight="1" x14ac:dyDescent="0.3">
      <c r="A7" s="2"/>
      <c r="B7" s="5" t="s">
        <v>10</v>
      </c>
      <c r="C7" s="9">
        <v>0</v>
      </c>
      <c r="D7" s="9">
        <v>0</v>
      </c>
    </row>
    <row r="8" spans="1:4" ht="11.25" customHeight="1" x14ac:dyDescent="0.3">
      <c r="A8" s="2"/>
      <c r="B8" s="5" t="s">
        <v>3</v>
      </c>
      <c r="C8" s="9">
        <f>[1]WR_sum_PT_Active!$C$3</f>
        <v>3</v>
      </c>
      <c r="D8" s="9">
        <f>[1]WR_sum_PT_Active!$D$3</f>
        <v>21</v>
      </c>
    </row>
    <row r="9" spans="1:4" ht="11.25" customHeight="1" x14ac:dyDescent="0.3">
      <c r="A9" s="2"/>
      <c r="B9" s="5" t="s">
        <v>1</v>
      </c>
      <c r="C9" s="9">
        <f>[1]WR_sum_PT_Active!$C$4</f>
        <v>9</v>
      </c>
      <c r="D9" s="9">
        <f>[1]WR_sum_PT_Active!$D$4</f>
        <v>2069.9</v>
      </c>
    </row>
    <row r="10" spans="1:4" ht="11.25" customHeight="1" x14ac:dyDescent="0.3">
      <c r="A10" s="2"/>
      <c r="B10" s="5" t="s">
        <v>2</v>
      </c>
      <c r="C10" s="9">
        <f>[1]WR_sum_PT_Active!$C$5</f>
        <v>27</v>
      </c>
      <c r="D10" s="9">
        <f>[1]WR_sum_PT_Active!$D$5</f>
        <v>765</v>
      </c>
    </row>
    <row r="11" spans="1:4" ht="11.25" customHeight="1" x14ac:dyDescent="0.3">
      <c r="A11" s="2"/>
      <c r="B11" s="5" t="s">
        <v>11</v>
      </c>
      <c r="C11" s="9">
        <v>0</v>
      </c>
      <c r="D11" s="9">
        <v>0</v>
      </c>
    </row>
    <row r="12" spans="1:4" ht="11.25" customHeight="1" x14ac:dyDescent="0.3">
      <c r="A12" s="2"/>
      <c r="B12" s="5" t="s">
        <v>12</v>
      </c>
      <c r="C12" s="9">
        <v>0</v>
      </c>
      <c r="D12" s="9">
        <v>0</v>
      </c>
    </row>
    <row r="13" spans="1:4" ht="11.25" customHeight="1" x14ac:dyDescent="0.3">
      <c r="A13" s="2"/>
      <c r="B13" s="5" t="s">
        <v>4</v>
      </c>
      <c r="C13" s="9">
        <f>[1]WR_sum_PT_Active!$C$6</f>
        <v>1</v>
      </c>
      <c r="D13" s="9">
        <f>[1]WR_sum_PT_Active!$D$6</f>
        <v>15.2</v>
      </c>
    </row>
    <row r="14" spans="1:4" ht="11.25" customHeight="1" x14ac:dyDescent="0.3">
      <c r="A14" s="2"/>
      <c r="B14" s="7" t="s">
        <v>13</v>
      </c>
      <c r="C14" s="10">
        <v>0</v>
      </c>
      <c r="D14" s="10">
        <v>0</v>
      </c>
    </row>
    <row r="15" spans="1:4" ht="11.25" customHeight="1" x14ac:dyDescent="0.3">
      <c r="A15" s="2"/>
      <c r="B15" s="8" t="s">
        <v>14</v>
      </c>
      <c r="C15" s="9">
        <f>SUM(C6:C14)</f>
        <v>41</v>
      </c>
      <c r="D15" s="6">
        <f>SUM(D6:D14)</f>
        <v>2872.1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571E-EAED-4F04-BF74-D89DB65EE35C}">
  <dimension ref="A1:D26"/>
  <sheetViews>
    <sheetView workbookViewId="0">
      <selection sqref="A1:D26"/>
    </sheetView>
  </sheetViews>
  <sheetFormatPr defaultRowHeight="14.4" x14ac:dyDescent="0.3"/>
  <cols>
    <col min="1" max="1" width="5.44140625" customWidth="1"/>
    <col min="2" max="2" width="19.44140625" customWidth="1"/>
    <col min="3" max="3" width="8.33203125" customWidth="1"/>
    <col min="4" max="4" width="10.33203125" customWidth="1"/>
  </cols>
  <sheetData>
    <row r="1" spans="1:4" x14ac:dyDescent="0.3">
      <c r="A1" s="11" t="s">
        <v>17</v>
      </c>
      <c r="B1" s="2"/>
      <c r="C1" s="2"/>
      <c r="D1" s="3">
        <v>45903</v>
      </c>
    </row>
    <row r="2" spans="1:4" ht="6" customHeight="1" x14ac:dyDescent="0.3">
      <c r="A2" s="1"/>
      <c r="B2" s="2"/>
      <c r="C2" s="2"/>
      <c r="D2" s="3"/>
    </row>
    <row r="3" spans="1:4" ht="22.5" customHeight="1" x14ac:dyDescent="0.3">
      <c r="A3" s="4"/>
      <c r="B3" s="4" t="s">
        <v>6</v>
      </c>
      <c r="C3" s="4" t="s">
        <v>7</v>
      </c>
      <c r="D3" s="4" t="s">
        <v>8</v>
      </c>
    </row>
    <row r="4" spans="1:4" ht="11.25" customHeight="1" x14ac:dyDescent="0.3">
      <c r="A4" s="1" t="s">
        <v>16</v>
      </c>
      <c r="B4" s="2"/>
      <c r="C4" s="12"/>
      <c r="D4" s="2"/>
    </row>
    <row r="5" spans="1:4" ht="11.25" customHeight="1" x14ac:dyDescent="0.3">
      <c r="A5" s="2"/>
      <c r="B5" s="5" t="s">
        <v>0</v>
      </c>
      <c r="C5" s="9">
        <f>[1]WR_sum_PT_Active!$C$2</f>
        <v>1</v>
      </c>
      <c r="D5" s="9">
        <f>[1]WR_sum_PT_Active!$D$2</f>
        <v>1</v>
      </c>
    </row>
    <row r="6" spans="1:4" ht="11.25" customHeight="1" x14ac:dyDescent="0.3">
      <c r="A6" s="2"/>
      <c r="B6" s="5" t="s">
        <v>10</v>
      </c>
      <c r="C6" s="9">
        <v>0</v>
      </c>
      <c r="D6" s="9">
        <v>0</v>
      </c>
    </row>
    <row r="7" spans="1:4" ht="11.25" customHeight="1" x14ac:dyDescent="0.3">
      <c r="A7" s="2"/>
      <c r="B7" s="5" t="s">
        <v>3</v>
      </c>
      <c r="C7" s="9">
        <f>[1]WR_sum_PT_Active!$C$3</f>
        <v>3</v>
      </c>
      <c r="D7" s="9">
        <f>[1]WR_sum_PT_Active!$D$3</f>
        <v>21</v>
      </c>
    </row>
    <row r="8" spans="1:4" ht="11.25" customHeight="1" x14ac:dyDescent="0.3">
      <c r="A8" s="2"/>
      <c r="B8" s="5" t="s">
        <v>1</v>
      </c>
      <c r="C8" s="9">
        <f>[1]WR_sum_PT_Active!$C$4</f>
        <v>9</v>
      </c>
      <c r="D8" s="9">
        <f>[1]WR_sum_PT_Active!$D$4</f>
        <v>2069.9</v>
      </c>
    </row>
    <row r="9" spans="1:4" ht="11.25" customHeight="1" x14ac:dyDescent="0.3">
      <c r="A9" s="2"/>
      <c r="B9" s="5" t="s">
        <v>2</v>
      </c>
      <c r="C9" s="9">
        <f>[1]WR_sum_PT_Active!$C$5</f>
        <v>27</v>
      </c>
      <c r="D9" s="9">
        <f>[1]WR_sum_PT_Active!$D$5</f>
        <v>765</v>
      </c>
    </row>
    <row r="10" spans="1:4" ht="11.25" customHeight="1" x14ac:dyDescent="0.3">
      <c r="A10" s="2"/>
      <c r="B10" s="5" t="s">
        <v>11</v>
      </c>
      <c r="C10" s="9">
        <v>0</v>
      </c>
      <c r="D10" s="9">
        <v>0</v>
      </c>
    </row>
    <row r="11" spans="1:4" ht="11.25" customHeight="1" x14ac:dyDescent="0.3">
      <c r="A11" s="2"/>
      <c r="B11" s="5" t="s">
        <v>12</v>
      </c>
      <c r="C11" s="9">
        <v>0</v>
      </c>
      <c r="D11" s="9">
        <v>0</v>
      </c>
    </row>
    <row r="12" spans="1:4" ht="11.25" customHeight="1" x14ac:dyDescent="0.3">
      <c r="A12" s="2"/>
      <c r="B12" s="5" t="s">
        <v>4</v>
      </c>
      <c r="C12" s="9">
        <f>[1]WR_sum_PT_Active!$C$6</f>
        <v>1</v>
      </c>
      <c r="D12" s="9">
        <f>[1]WR_sum_PT_Active!$D$6</f>
        <v>15.2</v>
      </c>
    </row>
    <row r="13" spans="1:4" ht="11.25" customHeight="1" x14ac:dyDescent="0.3">
      <c r="A13" s="2"/>
      <c r="B13" s="7" t="s">
        <v>13</v>
      </c>
      <c r="C13" s="10">
        <v>0</v>
      </c>
      <c r="D13" s="10">
        <v>0</v>
      </c>
    </row>
    <row r="14" spans="1:4" ht="11.25" customHeight="1" x14ac:dyDescent="0.3">
      <c r="A14" s="2"/>
      <c r="B14" s="8" t="s">
        <v>14</v>
      </c>
      <c r="C14" s="9">
        <f>SUM(C5:C13)</f>
        <v>41</v>
      </c>
      <c r="D14" s="6">
        <f>SUM(D5:D13)</f>
        <v>2872.1</v>
      </c>
    </row>
    <row r="15" spans="1:4" ht="11.25" customHeight="1" x14ac:dyDescent="0.3">
      <c r="A15" s="2"/>
      <c r="B15" s="8"/>
      <c r="C15" s="9"/>
      <c r="D15" s="6"/>
    </row>
    <row r="16" spans="1:4" ht="11.25" customHeight="1" x14ac:dyDescent="0.3">
      <c r="A16" s="1" t="s">
        <v>9</v>
      </c>
      <c r="B16" s="2"/>
      <c r="C16" s="12"/>
      <c r="D16" s="2"/>
    </row>
    <row r="17" spans="1:4" ht="11.25" customHeight="1" x14ac:dyDescent="0.3">
      <c r="A17" s="2"/>
      <c r="B17" s="5" t="s">
        <v>0</v>
      </c>
      <c r="C17" s="9">
        <v>0</v>
      </c>
      <c r="D17" s="9">
        <v>0</v>
      </c>
    </row>
    <row r="18" spans="1:4" ht="11.25" customHeight="1" x14ac:dyDescent="0.3">
      <c r="A18" s="2"/>
      <c r="B18" s="5" t="s">
        <v>10</v>
      </c>
      <c r="C18" s="9">
        <f>[1]WR_sum_PT_Active!$C$7</f>
        <v>3</v>
      </c>
      <c r="D18" s="9">
        <f>[1]WR_sum_PT_Active!$D$7</f>
        <v>6.1</v>
      </c>
    </row>
    <row r="19" spans="1:4" ht="11.25" customHeight="1" x14ac:dyDescent="0.3">
      <c r="A19" s="2"/>
      <c r="B19" s="5" t="s">
        <v>3</v>
      </c>
      <c r="C19" s="9">
        <f>[1]WR_sum_PT_Active!$C$8</f>
        <v>6</v>
      </c>
      <c r="D19" s="9">
        <f>[1]WR_sum_PT_Active!$D$8</f>
        <v>22.7</v>
      </c>
    </row>
    <row r="20" spans="1:4" ht="11.25" customHeight="1" x14ac:dyDescent="0.3">
      <c r="A20" s="2"/>
      <c r="B20" s="5" t="s">
        <v>1</v>
      </c>
      <c r="C20" s="9">
        <f>[1]WR_sum_PT_Active!$C$9</f>
        <v>1</v>
      </c>
      <c r="D20" s="9">
        <f>[1]WR_sum_PT_Active!$D$9</f>
        <v>26.8</v>
      </c>
    </row>
    <row r="21" spans="1:4" ht="11.25" customHeight="1" x14ac:dyDescent="0.3">
      <c r="A21" s="2"/>
      <c r="B21" s="5" t="s">
        <v>2</v>
      </c>
      <c r="C21" s="9">
        <f>[1]WR_sum_PT_Active!$C$10</f>
        <v>66</v>
      </c>
      <c r="D21" s="9">
        <f>[1]WR_sum_PT_Active!$D$10</f>
        <v>5032.8999999999996</v>
      </c>
    </row>
    <row r="22" spans="1:4" ht="11.25" customHeight="1" x14ac:dyDescent="0.3">
      <c r="A22" s="2"/>
      <c r="B22" s="5" t="s">
        <v>11</v>
      </c>
      <c r="C22" s="9">
        <v>0</v>
      </c>
      <c r="D22" s="9">
        <v>0</v>
      </c>
    </row>
    <row r="23" spans="1:4" ht="11.25" customHeight="1" x14ac:dyDescent="0.3">
      <c r="A23" s="2"/>
      <c r="B23" s="5" t="s">
        <v>12</v>
      </c>
      <c r="C23" s="9">
        <f>[1]WR_sum_PT_Active!$C$11</f>
        <v>1</v>
      </c>
      <c r="D23" s="9">
        <f>[1]WR_sum_PT_Active!$D$11</f>
        <v>4.5</v>
      </c>
    </row>
    <row r="24" spans="1:4" ht="11.25" customHeight="1" x14ac:dyDescent="0.3">
      <c r="A24" s="2"/>
      <c r="B24" s="5" t="s">
        <v>4</v>
      </c>
      <c r="C24" s="9">
        <v>0</v>
      </c>
      <c r="D24" s="9">
        <v>0</v>
      </c>
    </row>
    <row r="25" spans="1:4" ht="11.25" customHeight="1" x14ac:dyDescent="0.3">
      <c r="A25" s="2"/>
      <c r="B25" s="7" t="s">
        <v>13</v>
      </c>
      <c r="C25" s="10">
        <v>0</v>
      </c>
      <c r="D25" s="10">
        <v>0</v>
      </c>
    </row>
    <row r="26" spans="1:4" ht="11.25" customHeight="1" x14ac:dyDescent="0.3">
      <c r="A26" s="2"/>
      <c r="B26" s="8" t="s">
        <v>14</v>
      </c>
      <c r="C26" s="9">
        <f>SUM(C17:C25)</f>
        <v>77</v>
      </c>
      <c r="D26" s="6">
        <f>SUM(D17:D25)</f>
        <v>5093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D052-84C3-433F-976E-8EE22C458099}">
  <dimension ref="A1:D26"/>
  <sheetViews>
    <sheetView workbookViewId="0">
      <selection sqref="A1:D26"/>
    </sheetView>
  </sheetViews>
  <sheetFormatPr defaultRowHeight="14.4" x14ac:dyDescent="0.3"/>
  <cols>
    <col min="1" max="1" width="5.44140625" customWidth="1"/>
    <col min="2" max="2" width="19.44140625" customWidth="1"/>
    <col min="3" max="3" width="8.33203125" customWidth="1"/>
    <col min="4" max="4" width="10.33203125" customWidth="1"/>
  </cols>
  <sheetData>
    <row r="1" spans="1:4" ht="12" customHeight="1" x14ac:dyDescent="0.3">
      <c r="A1" s="11" t="s">
        <v>20</v>
      </c>
      <c r="B1" s="2"/>
      <c r="C1" s="2"/>
      <c r="D1" s="3">
        <v>45903</v>
      </c>
    </row>
    <row r="2" spans="1:4" ht="6" customHeight="1" x14ac:dyDescent="0.3">
      <c r="A2" s="1"/>
      <c r="B2" s="2"/>
      <c r="C2" s="2"/>
      <c r="D2" s="3"/>
    </row>
    <row r="3" spans="1:4" ht="22.5" customHeight="1" x14ac:dyDescent="0.3">
      <c r="A3" s="4"/>
      <c r="B3" s="4" t="s">
        <v>6</v>
      </c>
      <c r="C3" s="4" t="s">
        <v>7</v>
      </c>
      <c r="D3" s="4" t="s">
        <v>8</v>
      </c>
    </row>
    <row r="4" spans="1:4" ht="11.25" customHeight="1" x14ac:dyDescent="0.3">
      <c r="A4" s="1" t="s">
        <v>16</v>
      </c>
      <c r="B4" s="14"/>
      <c r="C4" s="14"/>
      <c r="D4" s="14"/>
    </row>
    <row r="5" spans="1:4" ht="11.25" customHeight="1" x14ac:dyDescent="0.3">
      <c r="A5" s="2"/>
      <c r="B5" s="5" t="s">
        <v>0</v>
      </c>
      <c r="C5" s="9">
        <f>[2]WR_sum_PT_2025!$C$2</f>
        <v>6</v>
      </c>
      <c r="D5" s="15">
        <f>[2]WR_sum_PT_2025!$D$2</f>
        <v>388.3</v>
      </c>
    </row>
    <row r="6" spans="1:4" ht="11.25" customHeight="1" x14ac:dyDescent="0.3">
      <c r="A6" s="2"/>
      <c r="B6" s="5" t="s">
        <v>10</v>
      </c>
      <c r="C6" s="9">
        <v>0</v>
      </c>
      <c r="D6" s="15">
        <v>0</v>
      </c>
    </row>
    <row r="7" spans="1:4" ht="11.25" customHeight="1" x14ac:dyDescent="0.3">
      <c r="A7" s="2"/>
      <c r="B7" s="5" t="s">
        <v>3</v>
      </c>
      <c r="C7" s="9">
        <f>[2]WR_sum_PT_2025!$C$3</f>
        <v>4</v>
      </c>
      <c r="D7" s="15">
        <f>[2]WR_sum_PT_2025!$D$3</f>
        <v>25.5</v>
      </c>
    </row>
    <row r="8" spans="1:4" ht="11.25" customHeight="1" x14ac:dyDescent="0.3">
      <c r="A8" s="2"/>
      <c r="B8" s="5" t="s">
        <v>1</v>
      </c>
      <c r="C8" s="9">
        <f>[2]WR_sum_PT_2025!$C$4</f>
        <v>49</v>
      </c>
      <c r="D8" s="15">
        <f>[2]WR_sum_PT_2025!$D$4</f>
        <v>9547.5</v>
      </c>
    </row>
    <row r="9" spans="1:4" ht="11.25" customHeight="1" x14ac:dyDescent="0.3">
      <c r="A9" s="2"/>
      <c r="B9" s="5" t="s">
        <v>2</v>
      </c>
      <c r="C9" s="9">
        <f>[2]WR_sum_PT_2025!$C$5</f>
        <v>66</v>
      </c>
      <c r="D9" s="15">
        <f>[2]WR_sum_PT_2025!$D$5</f>
        <v>3222.5</v>
      </c>
    </row>
    <row r="10" spans="1:4" ht="11.25" customHeight="1" x14ac:dyDescent="0.3">
      <c r="A10" s="2"/>
      <c r="B10" s="5" t="s">
        <v>11</v>
      </c>
      <c r="C10" s="9">
        <v>0</v>
      </c>
      <c r="D10" s="15">
        <v>0</v>
      </c>
    </row>
    <row r="11" spans="1:4" ht="11.25" customHeight="1" x14ac:dyDescent="0.3">
      <c r="A11" s="2"/>
      <c r="B11" s="5" t="s">
        <v>12</v>
      </c>
      <c r="C11" s="9">
        <v>0</v>
      </c>
      <c r="D11" s="15">
        <v>0</v>
      </c>
    </row>
    <row r="12" spans="1:4" ht="11.25" customHeight="1" x14ac:dyDescent="0.3">
      <c r="A12" s="2"/>
      <c r="B12" s="5" t="s">
        <v>4</v>
      </c>
      <c r="C12" s="9">
        <f>[2]WR_sum_PT_2025!$C$6</f>
        <v>3</v>
      </c>
      <c r="D12" s="15">
        <f>[2]WR_sum_PT_2025!$D$6</f>
        <v>30.5</v>
      </c>
    </row>
    <row r="13" spans="1:4" ht="11.25" customHeight="1" x14ac:dyDescent="0.3">
      <c r="A13" s="2"/>
      <c r="B13" s="7" t="s">
        <v>13</v>
      </c>
      <c r="C13" s="10">
        <v>0</v>
      </c>
      <c r="D13" s="16">
        <v>0</v>
      </c>
    </row>
    <row r="14" spans="1:4" ht="11.25" customHeight="1" x14ac:dyDescent="0.3">
      <c r="A14" s="2"/>
      <c r="B14" s="8" t="s">
        <v>14</v>
      </c>
      <c r="C14" s="9">
        <f>SUM(C5:C13)</f>
        <v>128</v>
      </c>
      <c r="D14" s="15">
        <f>SUM(D5:D13)</f>
        <v>13214.3</v>
      </c>
    </row>
    <row r="15" spans="1:4" ht="11.25" customHeight="1" x14ac:dyDescent="0.3">
      <c r="A15" s="2"/>
      <c r="B15" s="5"/>
      <c r="C15" s="9"/>
      <c r="D15" s="15"/>
    </row>
    <row r="16" spans="1:4" ht="11.25" customHeight="1" x14ac:dyDescent="0.3">
      <c r="A16" s="1" t="s">
        <v>9</v>
      </c>
      <c r="B16" s="2"/>
      <c r="C16" s="12"/>
      <c r="D16" s="17"/>
    </row>
    <row r="17" spans="1:4" ht="11.25" customHeight="1" x14ac:dyDescent="0.3">
      <c r="A17" s="2"/>
      <c r="B17" s="5" t="s">
        <v>0</v>
      </c>
      <c r="C17" s="9">
        <v>0</v>
      </c>
      <c r="D17" s="15">
        <v>0</v>
      </c>
    </row>
    <row r="18" spans="1:4" ht="11.25" customHeight="1" x14ac:dyDescent="0.3">
      <c r="A18" s="2"/>
      <c r="B18" s="5" t="s">
        <v>10</v>
      </c>
      <c r="C18" s="9">
        <f>[2]WR_sum_PT_2025!$C$7</f>
        <v>3</v>
      </c>
      <c r="D18" s="15">
        <f>[2]WR_sum_PT_2025!$D$7</f>
        <v>6.1</v>
      </c>
    </row>
    <row r="19" spans="1:4" ht="11.25" customHeight="1" x14ac:dyDescent="0.3">
      <c r="A19" s="2"/>
      <c r="B19" s="5" t="s">
        <v>3</v>
      </c>
      <c r="C19" s="9">
        <f>[2]WR_sum_PT_2025!$C$8</f>
        <v>10</v>
      </c>
      <c r="D19" s="15">
        <f>[2]WR_sum_PT_2025!$D$8</f>
        <v>314.2</v>
      </c>
    </row>
    <row r="20" spans="1:4" ht="11.25" customHeight="1" x14ac:dyDescent="0.3">
      <c r="A20" s="2"/>
      <c r="B20" s="5" t="s">
        <v>1</v>
      </c>
      <c r="C20" s="9">
        <f>[2]WR_sum_PT_2025!$C$9</f>
        <v>2</v>
      </c>
      <c r="D20" s="15">
        <f>[2]WR_sum_PT_2025!$D$9</f>
        <v>632.5</v>
      </c>
    </row>
    <row r="21" spans="1:4" ht="11.25" customHeight="1" x14ac:dyDescent="0.3">
      <c r="A21" s="2"/>
      <c r="B21" s="5" t="s">
        <v>2</v>
      </c>
      <c r="C21" s="9">
        <f>[2]WR_sum_PT_2025!$C$10</f>
        <v>194</v>
      </c>
      <c r="D21" s="15">
        <f>[2]WR_sum_PT_2025!$D$10</f>
        <v>13427</v>
      </c>
    </row>
    <row r="22" spans="1:4" ht="11.25" customHeight="1" x14ac:dyDescent="0.3">
      <c r="A22" s="2"/>
      <c r="B22" s="5" t="s">
        <v>11</v>
      </c>
      <c r="C22" s="9">
        <v>0</v>
      </c>
      <c r="D22" s="15">
        <v>0</v>
      </c>
    </row>
    <row r="23" spans="1:4" ht="11.25" customHeight="1" x14ac:dyDescent="0.3">
      <c r="A23" s="2"/>
      <c r="B23" s="5" t="s">
        <v>12</v>
      </c>
      <c r="C23" s="9">
        <f>[2]WR_sum_PT_2025!$C$11</f>
        <v>1</v>
      </c>
      <c r="D23" s="15">
        <f>[2]WR_sum_PT_2025!$D$11</f>
        <v>4.5</v>
      </c>
    </row>
    <row r="24" spans="1:4" ht="11.25" customHeight="1" x14ac:dyDescent="0.3">
      <c r="A24" s="2"/>
      <c r="B24" s="5" t="s">
        <v>4</v>
      </c>
      <c r="C24" s="9">
        <f>[2]WR_sum_PT_2025!$C$12</f>
        <v>1</v>
      </c>
      <c r="D24" s="15">
        <f>[2]WR_sum_PT_2025!$D$12</f>
        <v>2000</v>
      </c>
    </row>
    <row r="25" spans="1:4" ht="11.25" customHeight="1" x14ac:dyDescent="0.3">
      <c r="A25" s="2"/>
      <c r="B25" s="7" t="s">
        <v>13</v>
      </c>
      <c r="C25" s="10">
        <f>[2]WR_sum_PT_2025!$C$13</f>
        <v>2</v>
      </c>
      <c r="D25" s="16">
        <f>[2]WR_sum_PT_2025!$D$13</f>
        <v>80</v>
      </c>
    </row>
    <row r="26" spans="1:4" ht="11.25" customHeight="1" x14ac:dyDescent="0.3">
      <c r="A26" s="2"/>
      <c r="B26" s="8" t="s">
        <v>14</v>
      </c>
      <c r="C26" s="9">
        <f>SUM(C17:C25)</f>
        <v>213</v>
      </c>
      <c r="D26" s="6">
        <f>SUM(D17:D25)</f>
        <v>16464.3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3D00-47BF-4414-B571-5F9287F0307C}">
  <dimension ref="A1:D15"/>
  <sheetViews>
    <sheetView workbookViewId="0">
      <selection activeCell="D18" sqref="D18"/>
    </sheetView>
  </sheetViews>
  <sheetFormatPr defaultRowHeight="14.4" x14ac:dyDescent="0.3"/>
  <cols>
    <col min="1" max="1" width="5.109375" customWidth="1"/>
    <col min="2" max="2" width="18.44140625" customWidth="1"/>
    <col min="3" max="3" width="8.44140625" customWidth="1"/>
    <col min="4" max="4" width="11.5546875" customWidth="1"/>
  </cols>
  <sheetData>
    <row r="1" spans="1:4" ht="12" customHeight="1" x14ac:dyDescent="0.3">
      <c r="A1" s="11" t="s">
        <v>5</v>
      </c>
      <c r="B1" s="2"/>
      <c r="C1" s="2"/>
      <c r="D1" s="2"/>
    </row>
    <row r="2" spans="1:4" ht="12" customHeight="1" x14ac:dyDescent="0.3">
      <c r="A2" s="11"/>
      <c r="B2" s="2"/>
      <c r="C2" s="2"/>
      <c r="D2" s="3">
        <v>45903</v>
      </c>
    </row>
    <row r="3" spans="1:4" ht="6" customHeight="1" x14ac:dyDescent="0.3">
      <c r="A3" s="1"/>
      <c r="B3" s="2"/>
      <c r="C3" s="2"/>
      <c r="D3" s="3"/>
    </row>
    <row r="4" spans="1:4" ht="22.5" customHeight="1" x14ac:dyDescent="0.3">
      <c r="A4" s="4"/>
      <c r="B4" s="13" t="s">
        <v>6</v>
      </c>
      <c r="C4" s="13" t="s">
        <v>7</v>
      </c>
      <c r="D4" s="13" t="s">
        <v>8</v>
      </c>
    </row>
    <row r="5" spans="1:4" ht="11.25" customHeight="1" x14ac:dyDescent="0.3">
      <c r="A5" s="1" t="s">
        <v>9</v>
      </c>
      <c r="B5" s="2"/>
      <c r="C5" s="12"/>
      <c r="D5" s="2"/>
    </row>
    <row r="6" spans="1:4" ht="11.25" customHeight="1" x14ac:dyDescent="0.3">
      <c r="A6" s="2"/>
      <c r="B6" s="5" t="s">
        <v>0</v>
      </c>
      <c r="C6" s="9">
        <v>0</v>
      </c>
      <c r="D6" s="9">
        <v>0</v>
      </c>
    </row>
    <row r="7" spans="1:4" ht="11.25" customHeight="1" x14ac:dyDescent="0.3">
      <c r="A7" s="2"/>
      <c r="B7" s="5" t="s">
        <v>10</v>
      </c>
      <c r="C7" s="9">
        <f>[1]WR_sum_PT_Active!$C$7</f>
        <v>3</v>
      </c>
      <c r="D7" s="25">
        <f>[1]WR_sum_PT_Active!$D$7</f>
        <v>6.1</v>
      </c>
    </row>
    <row r="8" spans="1:4" ht="11.25" customHeight="1" x14ac:dyDescent="0.3">
      <c r="A8" s="2"/>
      <c r="B8" s="5" t="s">
        <v>3</v>
      </c>
      <c r="C8" s="9">
        <f>[1]WR_sum_PT_Active!$C$8</f>
        <v>6</v>
      </c>
      <c r="D8" s="9">
        <f>[1]WR_sum_PT_Active!$D$8</f>
        <v>22.7</v>
      </c>
    </row>
    <row r="9" spans="1:4" ht="11.25" customHeight="1" x14ac:dyDescent="0.3">
      <c r="A9" s="2"/>
      <c r="B9" s="5" t="s">
        <v>1</v>
      </c>
      <c r="C9" s="9">
        <f>[1]WR_sum_PT_Active!$C$9</f>
        <v>1</v>
      </c>
      <c r="D9" s="9">
        <f>[1]WR_sum_PT_Active!$D$9</f>
        <v>26.8</v>
      </c>
    </row>
    <row r="10" spans="1:4" ht="11.25" customHeight="1" x14ac:dyDescent="0.3">
      <c r="A10" s="2"/>
      <c r="B10" s="5" t="s">
        <v>2</v>
      </c>
      <c r="C10" s="9">
        <f>[1]WR_sum_PT_Active!$C$10</f>
        <v>66</v>
      </c>
      <c r="D10" s="9">
        <f>[1]WR_sum_PT_Active!$D$10</f>
        <v>5032.8999999999996</v>
      </c>
    </row>
    <row r="11" spans="1:4" ht="11.25" customHeight="1" x14ac:dyDescent="0.3">
      <c r="A11" s="2"/>
      <c r="B11" s="5" t="s">
        <v>11</v>
      </c>
      <c r="C11" s="9">
        <v>0</v>
      </c>
      <c r="D11" s="9">
        <v>0</v>
      </c>
    </row>
    <row r="12" spans="1:4" ht="11.25" customHeight="1" x14ac:dyDescent="0.3">
      <c r="A12" s="2"/>
      <c r="B12" s="5" t="s">
        <v>12</v>
      </c>
      <c r="C12" s="9">
        <f>[1]WR_sum_PT_Active!$C$11</f>
        <v>1</v>
      </c>
      <c r="D12" s="9">
        <f>[1]WR_sum_PT_Active!$D$11</f>
        <v>4.5</v>
      </c>
    </row>
    <row r="13" spans="1:4" ht="11.25" customHeight="1" x14ac:dyDescent="0.3">
      <c r="A13" s="2"/>
      <c r="B13" s="5" t="s">
        <v>4</v>
      </c>
      <c r="C13" s="9">
        <v>0</v>
      </c>
      <c r="D13" s="9">
        <v>0</v>
      </c>
    </row>
    <row r="14" spans="1:4" ht="11.25" customHeight="1" x14ac:dyDescent="0.3">
      <c r="A14" s="2"/>
      <c r="B14" s="7" t="s">
        <v>13</v>
      </c>
      <c r="C14" s="10">
        <v>0</v>
      </c>
      <c r="D14" s="10">
        <v>0</v>
      </c>
    </row>
    <row r="15" spans="1:4" ht="11.25" customHeight="1" x14ac:dyDescent="0.3">
      <c r="A15" s="2"/>
      <c r="B15" s="8" t="s">
        <v>14</v>
      </c>
      <c r="C15" s="9">
        <f>SUM(C6:C14)</f>
        <v>77</v>
      </c>
      <c r="D15" s="23">
        <f>SUM(D6:D14)</f>
        <v>5093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AC7A-8F48-41E7-A31D-0F8EA843360E}">
  <dimension ref="A1:C25"/>
  <sheetViews>
    <sheetView tabSelected="1" workbookViewId="0">
      <selection sqref="A1:C25"/>
    </sheetView>
  </sheetViews>
  <sheetFormatPr defaultRowHeight="14.4" x14ac:dyDescent="0.3"/>
  <cols>
    <col min="1" max="2" width="9" customWidth="1"/>
    <col min="3" max="3" width="14.6640625" customWidth="1"/>
  </cols>
  <sheetData>
    <row r="1" spans="1:3" ht="12.75" customHeight="1" x14ac:dyDescent="0.3">
      <c r="A1" s="19" t="s">
        <v>18</v>
      </c>
      <c r="B1" s="20"/>
      <c r="C1" s="20"/>
    </row>
    <row r="2" spans="1:3" ht="7.5" customHeight="1" x14ac:dyDescent="0.3">
      <c r="A2" s="20"/>
      <c r="B2" s="20"/>
      <c r="C2" s="20"/>
    </row>
    <row r="3" spans="1:3" ht="38.25" customHeight="1" x14ac:dyDescent="0.3">
      <c r="A3" s="21" t="s">
        <v>19</v>
      </c>
      <c r="B3" s="21" t="s">
        <v>7</v>
      </c>
      <c r="C3" s="21" t="s">
        <v>8</v>
      </c>
    </row>
    <row r="4" spans="1:3" ht="12.75" customHeight="1" x14ac:dyDescent="0.3">
      <c r="A4" s="22">
        <v>2005</v>
      </c>
      <c r="B4" s="18">
        <f>[3]WR_sum_PT_Year_AF!$B$10</f>
        <v>1686</v>
      </c>
      <c r="C4" s="18">
        <f>[3]WR_sum_PT_Year_AF!$C$10</f>
        <v>15524.3</v>
      </c>
    </row>
    <row r="5" spans="1:3" ht="12.75" customHeight="1" x14ac:dyDescent="0.3">
      <c r="A5" s="22">
        <v>2006</v>
      </c>
      <c r="B5" s="18">
        <f>[3]WR_sum_PT_Year_AF!$B$11</f>
        <v>1879</v>
      </c>
      <c r="C5" s="18">
        <f>[3]WR_sum_PT_Year_AF!$C$11</f>
        <v>14213.3</v>
      </c>
    </row>
    <row r="6" spans="1:3" ht="12.75" customHeight="1" x14ac:dyDescent="0.3">
      <c r="A6" s="22">
        <v>2007</v>
      </c>
      <c r="B6" s="18">
        <f>[3]WR_sum_PT_Year_AF!$B$12</f>
        <v>1836</v>
      </c>
      <c r="C6" s="18">
        <f>[3]WR_sum_PT_Year_AF!$C$12</f>
        <v>8709.2000000000007</v>
      </c>
    </row>
    <row r="7" spans="1:3" ht="12.75" customHeight="1" x14ac:dyDescent="0.3">
      <c r="A7" s="22">
        <v>2008</v>
      </c>
      <c r="B7" s="18">
        <f>[3]WR_sum_PT_Year_AF!$B$13</f>
        <v>2044</v>
      </c>
      <c r="C7" s="18">
        <f>[3]WR_sum_PT_Year_AF!$C$13</f>
        <v>18773</v>
      </c>
    </row>
    <row r="8" spans="1:3" ht="12.75" customHeight="1" x14ac:dyDescent="0.3">
      <c r="A8" s="22">
        <v>2009</v>
      </c>
      <c r="B8" s="18">
        <f>[3]WR_sum_PT_Year_AF!$B$14</f>
        <v>945</v>
      </c>
      <c r="C8" s="18">
        <f>[3]WR_sum_PT_Year_AF!$C$14</f>
        <v>14859.3</v>
      </c>
    </row>
    <row r="9" spans="1:3" ht="12.75" customHeight="1" x14ac:dyDescent="0.3">
      <c r="A9" s="22">
        <v>2010</v>
      </c>
      <c r="B9" s="18">
        <f>[3]WR_sum_PT_Year_AF!$B$15</f>
        <v>1349</v>
      </c>
      <c r="C9" s="18">
        <f>[3]WR_sum_PT_Year_AF!$C$15</f>
        <v>17293.5</v>
      </c>
    </row>
    <row r="10" spans="1:3" ht="12.75" customHeight="1" x14ac:dyDescent="0.3">
      <c r="A10" s="22">
        <v>2011</v>
      </c>
      <c r="B10" s="18">
        <f>[3]WR_sum_PT_Year_AF!$B$16</f>
        <v>2014</v>
      </c>
      <c r="C10" s="18">
        <f>[3]WR_sum_PT_Year_AF!$C$16</f>
        <v>71054.8</v>
      </c>
    </row>
    <row r="11" spans="1:3" ht="12.75" customHeight="1" x14ac:dyDescent="0.3">
      <c r="A11" s="22">
        <v>2012</v>
      </c>
      <c r="B11" s="18">
        <f>[3]WR_sum_PT_Year_AF!$B$17</f>
        <v>2417</v>
      </c>
      <c r="C11" s="18">
        <f>[3]WR_sum_PT_Year_AF!$C$17</f>
        <v>102711.6</v>
      </c>
    </row>
    <row r="12" spans="1:3" ht="12.75" customHeight="1" x14ac:dyDescent="0.3">
      <c r="A12" s="22">
        <v>2013</v>
      </c>
      <c r="B12" s="18">
        <f>[3]WR_sum_PT_Year_AF!$B$18</f>
        <v>2163</v>
      </c>
      <c r="C12" s="18">
        <f>[3]WR_sum_PT_Year_AF!$C$18</f>
        <v>98532.5</v>
      </c>
    </row>
    <row r="13" spans="1:3" ht="12.75" customHeight="1" x14ac:dyDescent="0.3">
      <c r="A13" s="22">
        <v>2014</v>
      </c>
      <c r="B13" s="18">
        <f>[3]WR_sum_PT_Year_AF!$B$19</f>
        <v>2035</v>
      </c>
      <c r="C13" s="18">
        <f>[3]WR_sum_PT_Year_AF!$C$19</f>
        <v>108259.7</v>
      </c>
    </row>
    <row r="14" spans="1:3" ht="12.75" customHeight="1" x14ac:dyDescent="0.3">
      <c r="A14" s="22">
        <v>2015</v>
      </c>
      <c r="B14" s="18">
        <f>[3]WR_sum_PT_Year_AF!$B$20</f>
        <v>1318</v>
      </c>
      <c r="C14" s="18">
        <f>[3]WR_sum_PT_Year_AF!$C$20</f>
        <v>94577.1</v>
      </c>
    </row>
    <row r="15" spans="1:3" ht="12.75" customHeight="1" x14ac:dyDescent="0.3">
      <c r="A15" s="22">
        <v>2016</v>
      </c>
      <c r="B15" s="18">
        <f>[3]WR_sum_PT_Year_AF!$B$21+[3]WR_sum_PT_Year_AF!$B$30</f>
        <v>1568</v>
      </c>
      <c r="C15" s="18">
        <f>[3]WR_sum_PT_Year_AF!$C$21+[3]WR_sum_PT_Year_AF!$C$30</f>
        <v>124378.5</v>
      </c>
    </row>
    <row r="16" spans="1:3" ht="12.75" customHeight="1" x14ac:dyDescent="0.3">
      <c r="A16" s="22">
        <v>2017</v>
      </c>
      <c r="B16" s="18">
        <f>[3]WR_sum_PT_Year_AF!$B$22+[3]WR_sum_PT_Year_AF!$B$31</f>
        <v>1631</v>
      </c>
      <c r="C16" s="18">
        <f>[3]WR_sum_PT_Year_AF!$C$22+[3]WR_sum_PT_Year_AF!$C$31</f>
        <v>68870.399999999994</v>
      </c>
    </row>
    <row r="17" spans="1:3" ht="12.75" customHeight="1" x14ac:dyDescent="0.3">
      <c r="A17" s="22">
        <v>2018</v>
      </c>
      <c r="B17" s="18">
        <f>[3]WR_sum_PT_Year_AF!$B$23</f>
        <v>1697</v>
      </c>
      <c r="C17" s="18">
        <f>[3]WR_sum_PT_Year_AF!$C$23</f>
        <v>76477</v>
      </c>
    </row>
    <row r="18" spans="1:3" ht="12.75" customHeight="1" x14ac:dyDescent="0.3">
      <c r="A18" s="22">
        <v>2019</v>
      </c>
      <c r="B18" s="18">
        <f>[3]WR_sum_PT_Year_AF!$B$24</f>
        <v>1217</v>
      </c>
      <c r="C18" s="18">
        <f>[3]WR_sum_PT_Year_AF!$C$24</f>
        <v>51207.199999999997</v>
      </c>
    </row>
    <row r="19" spans="1:3" ht="12.75" customHeight="1" x14ac:dyDescent="0.3">
      <c r="A19" s="22">
        <v>2020</v>
      </c>
      <c r="B19" s="18">
        <f>[3]WR_sum_PT_Year_AF!$B$25</f>
        <v>428</v>
      </c>
      <c r="C19" s="18">
        <f>[3]WR_sum_PT_Year_AF!$C$25</f>
        <v>23558.799999999999</v>
      </c>
    </row>
    <row r="20" spans="1:3" ht="12.75" customHeight="1" x14ac:dyDescent="0.3">
      <c r="A20" s="22">
        <v>2021</v>
      </c>
      <c r="B20" s="18">
        <f>[3]WR_sum_PT_Year_AF!$B$26</f>
        <v>435</v>
      </c>
      <c r="C20" s="18">
        <f>[3]WR_sum_PT_Year_AF!$C$26</f>
        <v>22465.599999999999</v>
      </c>
    </row>
    <row r="21" spans="1:3" ht="12.75" customHeight="1" x14ac:dyDescent="0.3">
      <c r="A21" s="22">
        <v>2022</v>
      </c>
      <c r="B21" s="18">
        <f>[3]WR_sum_PT_Year_AF!$B$27</f>
        <v>601</v>
      </c>
      <c r="C21" s="18">
        <f>[3]WR_sum_PT_Year_AF!$C$27</f>
        <v>36145.800000000003</v>
      </c>
    </row>
    <row r="22" spans="1:3" ht="12.75" customHeight="1" x14ac:dyDescent="0.3">
      <c r="A22" s="22">
        <v>2023</v>
      </c>
      <c r="B22" s="18">
        <f>[3]WR_sum_PT_Year_AF!$B$28</f>
        <v>539</v>
      </c>
      <c r="C22" s="18">
        <f>[3]WR_sum_PT_Year_AF!$C$28</f>
        <v>36120.1</v>
      </c>
    </row>
    <row r="23" spans="1:3" ht="12.75" customHeight="1" x14ac:dyDescent="0.3">
      <c r="A23" s="24">
        <v>2024</v>
      </c>
      <c r="B23" s="18">
        <f>[3]WR_sum_PT_Year_AF!$B$29</f>
        <v>513</v>
      </c>
      <c r="C23" s="18">
        <f>[3]WR_sum_PT_Year_AF!$C$29</f>
        <v>39591.1</v>
      </c>
    </row>
    <row r="24" spans="1:3" ht="12.75" customHeight="1" x14ac:dyDescent="0.3">
      <c r="A24" s="24">
        <v>2025</v>
      </c>
      <c r="B24" s="18">
        <f>[3]WR_sum_PT_Year_AF!$B$30</f>
        <v>341</v>
      </c>
      <c r="C24" s="18">
        <f>[3]WR_sum_PT_Year_AF!$C$30</f>
        <v>29678.6</v>
      </c>
    </row>
    <row r="25" spans="1:3" ht="12.75" customHeight="1" x14ac:dyDescent="0.3">
      <c r="A25" s="20" t="s">
        <v>14</v>
      </c>
      <c r="B25" s="18">
        <f>SUM(B4:B24)</f>
        <v>28656</v>
      </c>
      <c r="C25" s="18">
        <f>SUM(C4:C24)</f>
        <v>1073001.4000000001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Groundwater</vt:lpstr>
      <vt:lpstr>All</vt:lpstr>
      <vt:lpstr>2025</vt:lpstr>
      <vt:lpstr>Surface</vt:lpstr>
      <vt:lpstr>Historical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Roberson</dc:creator>
  <cp:lastModifiedBy>Scott Roberson</cp:lastModifiedBy>
  <dcterms:created xsi:type="dcterms:W3CDTF">2024-09-20T17:20:07Z</dcterms:created>
  <dcterms:modified xsi:type="dcterms:W3CDTF">2025-09-03T18:18:13Z</dcterms:modified>
</cp:coreProperties>
</file>